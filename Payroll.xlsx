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ee\Desktop\"/>
    </mc:Choice>
  </mc:AlternateContent>
  <xr:revisionPtr revIDLastSave="0" documentId="8_{60D114C0-CE10-4A9E-9E52-26AF2A138135}" xr6:coauthVersionLast="47" xr6:coauthVersionMax="47" xr10:uidLastSave="{00000000-0000-0000-0000-000000000000}"/>
  <bookViews>
    <workbookView xWindow="-110" yWindow="-110" windowWidth="19420" windowHeight="10300" xr2:uid="{2F8F55AC-9639-41F2-9277-A0FA252FD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1" l="1"/>
  <c r="R20" i="1"/>
  <c r="Q23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AB18" i="1"/>
  <c r="AB14" i="1"/>
  <c r="Y3" i="1"/>
  <c r="Z3" i="1" s="1"/>
  <c r="AA3" i="1" s="1"/>
  <c r="AB3" i="1" s="1"/>
  <c r="W18" i="1"/>
  <c r="U18" i="1"/>
  <c r="Z18" i="1" s="1"/>
  <c r="T17" i="1"/>
  <c r="W16" i="1"/>
  <c r="AB16" i="1" s="1"/>
  <c r="U16" i="1"/>
  <c r="Z16" i="1" s="1"/>
  <c r="V15" i="1"/>
  <c r="T15" i="1"/>
  <c r="W14" i="1"/>
  <c r="S14" i="1"/>
  <c r="V13" i="1"/>
  <c r="T13" i="1"/>
  <c r="U12" i="1"/>
  <c r="Z12" i="1" s="1"/>
  <c r="S12" i="1"/>
  <c r="V11" i="1"/>
  <c r="W10" i="1"/>
  <c r="U10" i="1"/>
  <c r="S10" i="1"/>
  <c r="W8" i="1"/>
  <c r="U8" i="1"/>
  <c r="S8" i="1"/>
  <c r="T7" i="1"/>
  <c r="W6" i="1"/>
  <c r="U6" i="1"/>
  <c r="V5" i="1"/>
  <c r="T5" i="1"/>
  <c r="W4" i="1"/>
  <c r="W21" i="1" s="1"/>
  <c r="S4" i="1"/>
  <c r="T3" i="1"/>
  <c r="U3" i="1" s="1"/>
  <c r="V3" i="1" s="1"/>
  <c r="W3" i="1" s="1"/>
  <c r="R18" i="1"/>
  <c r="Q18" i="1"/>
  <c r="P18" i="1"/>
  <c r="O18" i="1"/>
  <c r="R17" i="1"/>
  <c r="AB17" i="1" s="1"/>
  <c r="Q17" i="1"/>
  <c r="AA17" i="1" s="1"/>
  <c r="P17" i="1"/>
  <c r="O17" i="1"/>
  <c r="Y17" i="1" s="1"/>
  <c r="R16" i="1"/>
  <c r="Q16" i="1"/>
  <c r="P16" i="1"/>
  <c r="O16" i="1"/>
  <c r="R15" i="1"/>
  <c r="Q15" i="1"/>
  <c r="AA15" i="1" s="1"/>
  <c r="P15" i="1"/>
  <c r="O15" i="1"/>
  <c r="Y15" i="1" s="1"/>
  <c r="R14" i="1"/>
  <c r="Q14" i="1"/>
  <c r="P14" i="1"/>
  <c r="O14" i="1"/>
  <c r="R13" i="1"/>
  <c r="Q13" i="1"/>
  <c r="AA13" i="1" s="1"/>
  <c r="P13" i="1"/>
  <c r="O13" i="1"/>
  <c r="Y13" i="1" s="1"/>
  <c r="R12" i="1"/>
  <c r="Q12" i="1"/>
  <c r="AA12" i="1" s="1"/>
  <c r="P12" i="1"/>
  <c r="O12" i="1"/>
  <c r="Y12" i="1" s="1"/>
  <c r="R11" i="1"/>
  <c r="AB11" i="1" s="1"/>
  <c r="Q11" i="1"/>
  <c r="AA11" i="1" s="1"/>
  <c r="P11" i="1"/>
  <c r="O11" i="1"/>
  <c r="R10" i="1"/>
  <c r="AB10" i="1" s="1"/>
  <c r="Q10" i="1"/>
  <c r="P10" i="1"/>
  <c r="Z10" i="1" s="1"/>
  <c r="O10" i="1"/>
  <c r="R9" i="1"/>
  <c r="AB9" i="1" s="1"/>
  <c r="Q9" i="1"/>
  <c r="AA9" i="1" s="1"/>
  <c r="P9" i="1"/>
  <c r="O9" i="1"/>
  <c r="R8" i="1"/>
  <c r="AB8" i="1" s="1"/>
  <c r="Q8" i="1"/>
  <c r="P8" i="1"/>
  <c r="Z8" i="1" s="1"/>
  <c r="O8" i="1"/>
  <c r="R7" i="1"/>
  <c r="Q7" i="1"/>
  <c r="AA7" i="1" s="1"/>
  <c r="P7" i="1"/>
  <c r="O7" i="1"/>
  <c r="Y7" i="1" s="1"/>
  <c r="R6" i="1"/>
  <c r="AB6" i="1" s="1"/>
  <c r="Q6" i="1"/>
  <c r="P6" i="1"/>
  <c r="Z6" i="1" s="1"/>
  <c r="O6" i="1"/>
  <c r="R5" i="1"/>
  <c r="Q5" i="1"/>
  <c r="AA5" i="1" s="1"/>
  <c r="P5" i="1"/>
  <c r="O5" i="1"/>
  <c r="Y5" i="1" s="1"/>
  <c r="R4" i="1"/>
  <c r="R23" i="1" s="1"/>
  <c r="Q4" i="1"/>
  <c r="Q22" i="1" s="1"/>
  <c r="P4" i="1"/>
  <c r="P22" i="1" s="1"/>
  <c r="O4" i="1"/>
  <c r="O21" i="1" s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X4" i="1" s="1"/>
  <c r="O3" i="1"/>
  <c r="P3" i="1" s="1"/>
  <c r="Q3" i="1" s="1"/>
  <c r="R3" i="1" s="1"/>
  <c r="M18" i="1"/>
  <c r="L18" i="1"/>
  <c r="V18" i="1" s="1"/>
  <c r="K18" i="1"/>
  <c r="M17" i="1"/>
  <c r="W17" i="1" s="1"/>
  <c r="L17" i="1"/>
  <c r="V17" i="1" s="1"/>
  <c r="K17" i="1"/>
  <c r="U17" i="1" s="1"/>
  <c r="Z17" i="1" s="1"/>
  <c r="M16" i="1"/>
  <c r="L16" i="1"/>
  <c r="V16" i="1" s="1"/>
  <c r="K16" i="1"/>
  <c r="M15" i="1"/>
  <c r="W15" i="1" s="1"/>
  <c r="L15" i="1"/>
  <c r="K15" i="1"/>
  <c r="U15" i="1" s="1"/>
  <c r="Z15" i="1" s="1"/>
  <c r="M14" i="1"/>
  <c r="L14" i="1"/>
  <c r="V14" i="1" s="1"/>
  <c r="K14" i="1"/>
  <c r="U14" i="1" s="1"/>
  <c r="Z14" i="1" s="1"/>
  <c r="M13" i="1"/>
  <c r="W13" i="1" s="1"/>
  <c r="L13" i="1"/>
  <c r="K13" i="1"/>
  <c r="U13" i="1" s="1"/>
  <c r="Z13" i="1" s="1"/>
  <c r="M12" i="1"/>
  <c r="W12" i="1" s="1"/>
  <c r="AB12" i="1" s="1"/>
  <c r="L12" i="1"/>
  <c r="V12" i="1" s="1"/>
  <c r="K12" i="1"/>
  <c r="M11" i="1"/>
  <c r="W11" i="1" s="1"/>
  <c r="L11" i="1"/>
  <c r="K11" i="1"/>
  <c r="U11" i="1" s="1"/>
  <c r="M10" i="1"/>
  <c r="L10" i="1"/>
  <c r="V10" i="1" s="1"/>
  <c r="AA10" i="1" s="1"/>
  <c r="K10" i="1"/>
  <c r="M9" i="1"/>
  <c r="W9" i="1" s="1"/>
  <c r="L9" i="1"/>
  <c r="V9" i="1" s="1"/>
  <c r="K9" i="1"/>
  <c r="U9" i="1" s="1"/>
  <c r="M8" i="1"/>
  <c r="L8" i="1"/>
  <c r="V8" i="1" s="1"/>
  <c r="AA8" i="1" s="1"/>
  <c r="K8" i="1"/>
  <c r="M7" i="1"/>
  <c r="W7" i="1" s="1"/>
  <c r="L7" i="1"/>
  <c r="V7" i="1" s="1"/>
  <c r="K7" i="1"/>
  <c r="U7" i="1" s="1"/>
  <c r="M6" i="1"/>
  <c r="L6" i="1"/>
  <c r="V6" i="1" s="1"/>
  <c r="AA6" i="1" s="1"/>
  <c r="K6" i="1"/>
  <c r="M5" i="1"/>
  <c r="W5" i="1" s="1"/>
  <c r="L5" i="1"/>
  <c r="K5" i="1"/>
  <c r="U5" i="1" s="1"/>
  <c r="M4" i="1"/>
  <c r="L4" i="1"/>
  <c r="V4" i="1" s="1"/>
  <c r="K4" i="1"/>
  <c r="U4" i="1" s="1"/>
  <c r="J18" i="1"/>
  <c r="T18" i="1" s="1"/>
  <c r="J17" i="1"/>
  <c r="J16" i="1"/>
  <c r="T16" i="1" s="1"/>
  <c r="J15" i="1"/>
  <c r="J14" i="1"/>
  <c r="T14" i="1" s="1"/>
  <c r="J13" i="1"/>
  <c r="J12" i="1"/>
  <c r="T12" i="1" s="1"/>
  <c r="J11" i="1"/>
  <c r="T11" i="1" s="1"/>
  <c r="J10" i="1"/>
  <c r="T10" i="1" s="1"/>
  <c r="Y10" i="1" s="1"/>
  <c r="J9" i="1"/>
  <c r="T9" i="1" s="1"/>
  <c r="J8" i="1"/>
  <c r="T8" i="1" s="1"/>
  <c r="Y8" i="1" s="1"/>
  <c r="J7" i="1"/>
  <c r="J6" i="1"/>
  <c r="T6" i="1" s="1"/>
  <c r="Y6" i="1" s="1"/>
  <c r="J5" i="1"/>
  <c r="J4" i="1"/>
  <c r="T4" i="1" s="1"/>
  <c r="I4" i="1"/>
  <c r="J3" i="1"/>
  <c r="K3" i="1" s="1"/>
  <c r="L3" i="1" s="1"/>
  <c r="M3" i="1" s="1"/>
  <c r="E3" i="1"/>
  <c r="F3" i="1" s="1"/>
  <c r="G3" i="1" s="1"/>
  <c r="H3" i="1" s="1"/>
  <c r="I5" i="1"/>
  <c r="S5" i="1" s="1"/>
  <c r="I6" i="1"/>
  <c r="S6" i="1" s="1"/>
  <c r="I7" i="1"/>
  <c r="S7" i="1" s="1"/>
  <c r="I8" i="1"/>
  <c r="I9" i="1"/>
  <c r="S9" i="1" s="1"/>
  <c r="I10" i="1"/>
  <c r="I11" i="1"/>
  <c r="S11" i="1" s="1"/>
  <c r="I12" i="1"/>
  <c r="I13" i="1"/>
  <c r="S13" i="1" s="1"/>
  <c r="I14" i="1"/>
  <c r="I15" i="1"/>
  <c r="S15" i="1" s="1"/>
  <c r="I16" i="1"/>
  <c r="S16" i="1" s="1"/>
  <c r="I17" i="1"/>
  <c r="S17" i="1" s="1"/>
  <c r="I18" i="1"/>
  <c r="S18" i="1" s="1"/>
  <c r="D23" i="1"/>
  <c r="D20" i="1"/>
  <c r="D21" i="1"/>
  <c r="D22" i="1"/>
  <c r="C22" i="1"/>
  <c r="C21" i="1"/>
  <c r="C20" i="1"/>
  <c r="AB5" i="1" l="1"/>
  <c r="AB7" i="1"/>
  <c r="AB13" i="1"/>
  <c r="AB15" i="1"/>
  <c r="W22" i="1"/>
  <c r="Y14" i="1"/>
  <c r="Y16" i="1"/>
  <c r="Y18" i="1"/>
  <c r="AA14" i="1"/>
  <c r="AA16" i="1"/>
  <c r="AA18" i="1"/>
  <c r="U20" i="1"/>
  <c r="U23" i="1"/>
  <c r="U21" i="1"/>
  <c r="U22" i="1"/>
  <c r="T20" i="1"/>
  <c r="T23" i="1"/>
  <c r="T22" i="1"/>
  <c r="T21" i="1"/>
  <c r="Y4" i="1"/>
  <c r="V21" i="1"/>
  <c r="V20" i="1"/>
  <c r="V23" i="1"/>
  <c r="AA4" i="1"/>
  <c r="V22" i="1"/>
  <c r="Y9" i="1"/>
  <c r="Y11" i="1"/>
  <c r="Z5" i="1"/>
  <c r="Z7" i="1"/>
  <c r="Z9" i="1"/>
  <c r="Z11" i="1"/>
  <c r="S20" i="1"/>
  <c r="Z4" i="1"/>
  <c r="P23" i="1"/>
  <c r="Q20" i="1"/>
  <c r="O22" i="1"/>
  <c r="W23" i="1"/>
  <c r="O23" i="1"/>
  <c r="S21" i="1"/>
  <c r="AB4" i="1"/>
  <c r="R21" i="1"/>
  <c r="W20" i="1"/>
  <c r="O20" i="1"/>
  <c r="S22" i="1"/>
  <c r="Q21" i="1"/>
  <c r="R22" i="1"/>
  <c r="P21" i="1"/>
  <c r="S23" i="1"/>
  <c r="X14" i="1"/>
  <c r="AD14" i="1" s="1"/>
  <c r="X13" i="1"/>
  <c r="AD13" i="1" s="1"/>
  <c r="X5" i="1"/>
  <c r="AD5" i="1" s="1"/>
  <c r="X6" i="1"/>
  <c r="AD6" i="1" s="1"/>
  <c r="X12" i="1"/>
  <c r="AD12" i="1" s="1"/>
  <c r="X11" i="1"/>
  <c r="X18" i="1"/>
  <c r="X10" i="1"/>
  <c r="AD10" i="1" s="1"/>
  <c r="X15" i="1"/>
  <c r="AD15" i="1" s="1"/>
  <c r="X7" i="1"/>
  <c r="AD7" i="1" s="1"/>
  <c r="X17" i="1"/>
  <c r="AD17" i="1" s="1"/>
  <c r="X9" i="1"/>
  <c r="X16" i="1"/>
  <c r="X8" i="1"/>
  <c r="AD8" i="1" s="1"/>
  <c r="N23" i="1"/>
  <c r="N22" i="1"/>
  <c r="N21" i="1"/>
  <c r="N20" i="1"/>
  <c r="AA20" i="1" l="1"/>
  <c r="AA23" i="1"/>
  <c r="AA22" i="1"/>
  <c r="AA21" i="1"/>
  <c r="X23" i="1"/>
  <c r="AB23" i="1"/>
  <c r="AB20" i="1"/>
  <c r="AB22" i="1"/>
  <c r="AB21" i="1"/>
  <c r="X20" i="1"/>
  <c r="Z23" i="1"/>
  <c r="Z20" i="1"/>
  <c r="Z22" i="1"/>
  <c r="Z21" i="1"/>
  <c r="AD4" i="1"/>
  <c r="AD11" i="1"/>
  <c r="X21" i="1"/>
  <c r="AD18" i="1"/>
  <c r="AD16" i="1"/>
  <c r="AD9" i="1"/>
  <c r="Y22" i="1"/>
  <c r="Y21" i="1"/>
  <c r="Y20" i="1"/>
  <c r="Y23" i="1"/>
  <c r="X22" i="1"/>
  <c r="AD20" i="1" l="1"/>
  <c r="AD23" i="1"/>
  <c r="AD22" i="1"/>
  <c r="AD21" i="1"/>
</calcChain>
</file>

<file path=xl/sharedStrings.xml><?xml version="1.0" encoding="utf-8"?>
<sst xmlns="http://schemas.openxmlformats.org/spreadsheetml/2006/main" count="44" uniqueCount="44">
  <si>
    <t>Employee Payroll</t>
  </si>
  <si>
    <t>Last Name</t>
  </si>
  <si>
    <t>First Name</t>
  </si>
  <si>
    <t>Hourly Wage</t>
  </si>
  <si>
    <t>House Worked</t>
  </si>
  <si>
    <t>Pay</t>
  </si>
  <si>
    <t>Arjun</t>
  </si>
  <si>
    <t>Mehta</t>
  </si>
  <si>
    <t>Neha</t>
  </si>
  <si>
    <t>Kapoor</t>
  </si>
  <si>
    <t>Rahul</t>
  </si>
  <si>
    <t>Verma</t>
  </si>
  <si>
    <t>Sanya</t>
  </si>
  <si>
    <t>Reddy</t>
  </si>
  <si>
    <t>Karan</t>
  </si>
  <si>
    <t>Sharma</t>
  </si>
  <si>
    <t>Priya</t>
  </si>
  <si>
    <t>Iyer</t>
  </si>
  <si>
    <t>Vikram</t>
  </si>
  <si>
    <t>Nanda</t>
  </si>
  <si>
    <t>Aditi</t>
  </si>
  <si>
    <t>Singh</t>
  </si>
  <si>
    <t>Rohit</t>
  </si>
  <si>
    <t>Chawla</t>
  </si>
  <si>
    <t>Kavya</t>
  </si>
  <si>
    <t>Mishra</t>
  </si>
  <si>
    <t>Manish</t>
  </si>
  <si>
    <t>Rao</t>
  </si>
  <si>
    <t>Sneha</t>
  </si>
  <si>
    <t>Patel</t>
  </si>
  <si>
    <t>Harish</t>
  </si>
  <si>
    <t>Babu</t>
  </si>
  <si>
    <t>Divya</t>
  </si>
  <si>
    <t>Menon</t>
  </si>
  <si>
    <t>Sameer</t>
  </si>
  <si>
    <t>Kulkarni</t>
  </si>
  <si>
    <t>Max</t>
  </si>
  <si>
    <t>Min</t>
  </si>
  <si>
    <t>Average</t>
  </si>
  <si>
    <t>Total</t>
  </si>
  <si>
    <t>Over Time</t>
  </si>
  <si>
    <t>Overtime Pay</t>
  </si>
  <si>
    <t>Total Pay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</si>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</sst>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3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6" fontId="0" fillId="2" borderId="1" xfId="0" applyNumberFormat="1" applyFill="1" applyBorder="1"/>
    <xf numFmtId="16" fontId="0" fillId="3" borderId="1" xfId="0" applyNumberFormat="1" applyFill="1" applyBorder="1"/>
    <xf numFmtId="16" fontId="0" fillId="4" borderId="1" xfId="0" applyNumberFormat="1" applyFill="1" applyBorder="1"/>
    <xf numFmtId="16" fontId="0" fillId="5" borderId="1" xfId="0" applyNumberFormat="1" applyFill="1" applyBorder="1"/>
    <xf numFmtId="16" fontId="0" fillId="6" borderId="1" xfId="0" applyNumberFormat="1" applyFill="1" applyBorder="1"/>
    <xf numFmtId="0" fontId="0" fillId="0" borderId="1" xfId="0" applyBorder="1" applyAlignment="1">
      <alignment vertical="center" wrapText="1"/>
    </xf>
    <xf numFmtId="44" fontId="0" fillId="0" borderId="1" xfId="1" applyFont="1" applyBorder="1"/>
    <xf numFmtId="0" fontId="0" fillId="2" borderId="1" xfId="0" applyFill="1" applyBorder="1"/>
    <xf numFmtId="0" fontId="0" fillId="3" borderId="1" xfId="0" applyFill="1" applyBorder="1"/>
    <xf numFmtId="44" fontId="0" fillId="4" borderId="1" xfId="1" applyFont="1" applyFill="1" applyBorder="1"/>
    <xf numFmtId="44" fontId="0" fillId="5" borderId="1" xfId="1" applyFont="1" applyFill="1" applyBorder="1"/>
    <xf numFmtId="44" fontId="0" fillId="6" borderId="1" xfId="0" applyNumberFormat="1" applyFill="1" applyBorder="1"/>
    <xf numFmtId="44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44" fontId="0" fillId="5" borderId="1" xfId="0" applyNumberFormat="1" applyFill="1" applyBorder="1"/>
    <xf numFmtId="44" fontId="0" fillId="4" borderId="1" xfId="0" applyNumberFormat="1" applyFill="1" applyBorder="1"/>
    <xf numFmtId="0" fontId="0" fillId="2" borderId="1" xfId="0" applyNumberFormat="1" applyFill="1" applyBorder="1"/>
    <xf numFmtId="173" fontId="0" fillId="2" borderId="1" xfId="0" applyNumberFormat="1" applyFill="1" applyBorder="1"/>
    <xf numFmtId="44" fontId="0" fillId="8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BCD6-0325-4B82-AD58-2F4ACEA765C4}">
  <dimension ref="A1:AD23"/>
  <sheetViews>
    <sheetView tabSelected="1" zoomScale="87" zoomScaleNormal="87" workbookViewId="0">
      <selection activeCell="AE16" sqref="AE16"/>
    </sheetView>
  </sheetViews>
  <sheetFormatPr defaultRowHeight="14.5" x14ac:dyDescent="0.35"/>
  <cols>
    <col min="1" max="1" width="15.1796875" bestFit="1" customWidth="1"/>
    <col min="2" max="2" width="9.7265625" bestFit="1" customWidth="1"/>
    <col min="3" max="3" width="11.54296875" bestFit="1" customWidth="1"/>
    <col min="4" max="4" width="13.26953125" bestFit="1" customWidth="1"/>
    <col min="5" max="13" width="13.26953125" customWidth="1"/>
    <col min="14" max="18" width="12.6328125" bestFit="1" customWidth="1"/>
    <col min="19" max="19" width="11.90625" bestFit="1" customWidth="1"/>
    <col min="20" max="23" width="11.90625" customWidth="1"/>
    <col min="24" max="28" width="12.6328125" bestFit="1" customWidth="1"/>
    <col min="30" max="30" width="12.6328125" bestFit="1" customWidth="1"/>
  </cols>
  <sheetData>
    <row r="1" spans="1:30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</row>
    <row r="2" spans="1:30" x14ac:dyDescent="0.35">
      <c r="A2" s="1"/>
      <c r="B2" s="1"/>
      <c r="C2" s="1"/>
      <c r="D2" s="17" t="s">
        <v>4</v>
      </c>
      <c r="E2" s="18"/>
      <c r="F2" s="18"/>
      <c r="G2" s="18"/>
      <c r="H2" s="19"/>
      <c r="I2" s="17" t="s">
        <v>40</v>
      </c>
      <c r="J2" s="18"/>
      <c r="K2" s="18"/>
      <c r="L2" s="18"/>
      <c r="M2" s="19"/>
      <c r="N2" s="17" t="s">
        <v>5</v>
      </c>
      <c r="O2" s="18"/>
      <c r="P2" s="18"/>
      <c r="Q2" s="18"/>
      <c r="R2" s="19"/>
      <c r="S2" s="17" t="s">
        <v>41</v>
      </c>
      <c r="T2" s="18"/>
      <c r="U2" s="18"/>
      <c r="V2" s="18"/>
      <c r="W2" s="19"/>
      <c r="X2" s="17" t="s">
        <v>42</v>
      </c>
      <c r="Y2" s="18"/>
      <c r="Z2" s="18"/>
      <c r="AA2" s="18"/>
      <c r="AB2" s="19"/>
      <c r="AC2" s="1"/>
      <c r="AD2" s="16" t="s">
        <v>43</v>
      </c>
    </row>
    <row r="3" spans="1:30" x14ac:dyDescent="0.35">
      <c r="A3" s="1" t="s">
        <v>1</v>
      </c>
      <c r="B3" s="1" t="s">
        <v>2</v>
      </c>
      <c r="C3" s="1" t="s">
        <v>3</v>
      </c>
      <c r="D3" s="2">
        <v>45658</v>
      </c>
      <c r="E3" s="2">
        <f>D3+7</f>
        <v>45665</v>
      </c>
      <c r="F3" s="2">
        <f t="shared" ref="F3:H3" si="0">E3+7</f>
        <v>45672</v>
      </c>
      <c r="G3" s="2">
        <f t="shared" si="0"/>
        <v>45679</v>
      </c>
      <c r="H3" s="2">
        <f t="shared" si="0"/>
        <v>45686</v>
      </c>
      <c r="I3" s="3">
        <v>45658</v>
      </c>
      <c r="J3" s="3">
        <f>I3+7</f>
        <v>45665</v>
      </c>
      <c r="K3" s="3">
        <f t="shared" ref="K3:M3" si="1">J3+7</f>
        <v>45672</v>
      </c>
      <c r="L3" s="3">
        <f t="shared" si="1"/>
        <v>45679</v>
      </c>
      <c r="M3" s="3">
        <f t="shared" si="1"/>
        <v>45686</v>
      </c>
      <c r="N3" s="4">
        <v>45658</v>
      </c>
      <c r="O3" s="4">
        <f>N3+7</f>
        <v>45665</v>
      </c>
      <c r="P3" s="4">
        <f t="shared" ref="P3:R3" si="2">O3+7</f>
        <v>45672</v>
      </c>
      <c r="Q3" s="4">
        <f t="shared" si="2"/>
        <v>45679</v>
      </c>
      <c r="R3" s="4">
        <f t="shared" si="2"/>
        <v>45686</v>
      </c>
      <c r="S3" s="5">
        <v>45658</v>
      </c>
      <c r="T3" s="5">
        <f>S3+7</f>
        <v>45665</v>
      </c>
      <c r="U3" s="5">
        <f t="shared" ref="U3:W3" si="3">T3+7</f>
        <v>45672</v>
      </c>
      <c r="V3" s="5">
        <f t="shared" si="3"/>
        <v>45679</v>
      </c>
      <c r="W3" s="5">
        <f t="shared" si="3"/>
        <v>45686</v>
      </c>
      <c r="X3" s="6">
        <v>45658</v>
      </c>
      <c r="Y3" s="6">
        <f>X3+7</f>
        <v>45665</v>
      </c>
      <c r="Z3" s="6">
        <f t="shared" ref="Z3:AB3" si="4">Y3+7</f>
        <v>45672</v>
      </c>
      <c r="AA3" s="6">
        <f t="shared" si="4"/>
        <v>45679</v>
      </c>
      <c r="AB3" s="6">
        <f t="shared" si="4"/>
        <v>45686</v>
      </c>
      <c r="AC3" s="1"/>
      <c r="AD3" s="1"/>
    </row>
    <row r="4" spans="1:30" x14ac:dyDescent="0.35">
      <c r="A4" s="7" t="s">
        <v>6</v>
      </c>
      <c r="B4" s="7" t="s">
        <v>7</v>
      </c>
      <c r="C4" s="8">
        <v>120</v>
      </c>
      <c r="D4" s="9">
        <v>38</v>
      </c>
      <c r="E4" s="9">
        <v>35</v>
      </c>
      <c r="F4" s="9">
        <v>37</v>
      </c>
      <c r="G4" s="9">
        <v>34</v>
      </c>
      <c r="H4" s="9">
        <v>39</v>
      </c>
      <c r="I4" s="10">
        <f>IF(D4&gt;40,D4-40,0)</f>
        <v>0</v>
      </c>
      <c r="J4" s="10">
        <f>IF(E4&gt;40,E4-40,0)</f>
        <v>0</v>
      </c>
      <c r="K4" s="10">
        <f t="shared" ref="K4:M4" si="5">IF(F4&gt;40,F4-40,0)</f>
        <v>0</v>
      </c>
      <c r="L4" s="10">
        <f t="shared" si="5"/>
        <v>0</v>
      </c>
      <c r="M4" s="10">
        <f t="shared" si="5"/>
        <v>0</v>
      </c>
      <c r="N4" s="11">
        <f>$C4*D4</f>
        <v>4560</v>
      </c>
      <c r="O4" s="11">
        <f t="shared" ref="O4:R18" si="6">$C4*E4</f>
        <v>4200</v>
      </c>
      <c r="P4" s="11">
        <f t="shared" si="6"/>
        <v>4440</v>
      </c>
      <c r="Q4" s="11">
        <f t="shared" si="6"/>
        <v>4080</v>
      </c>
      <c r="R4" s="11">
        <f t="shared" si="6"/>
        <v>4680</v>
      </c>
      <c r="S4" s="12">
        <f>0.5*$C4*I4</f>
        <v>0</v>
      </c>
      <c r="T4" s="12">
        <f t="shared" ref="T4:T18" si="7">0.5*$C4*J4</f>
        <v>0</v>
      </c>
      <c r="U4" s="12">
        <f t="shared" ref="U4:U18" si="8">0.5*$C4*K4</f>
        <v>0</v>
      </c>
      <c r="V4" s="12">
        <f t="shared" ref="V4:V18" si="9">0.5*$C4*L4</f>
        <v>0</v>
      </c>
      <c r="W4" s="12">
        <f t="shared" ref="W4:W18" si="10">0.5*$C4*M4</f>
        <v>0</v>
      </c>
      <c r="X4" s="13">
        <f>N4+S4</f>
        <v>4560</v>
      </c>
      <c r="Y4" s="13">
        <f t="shared" ref="Y4:AB18" si="11">O4+T4</f>
        <v>4200</v>
      </c>
      <c r="Z4" s="13">
        <f t="shared" si="11"/>
        <v>4440</v>
      </c>
      <c r="AA4" s="13">
        <f t="shared" si="11"/>
        <v>4080</v>
      </c>
      <c r="AB4" s="13">
        <f t="shared" si="11"/>
        <v>4680</v>
      </c>
      <c r="AC4" s="1"/>
      <c r="AD4" s="27">
        <f>SUM(X4:AB4)</f>
        <v>21960</v>
      </c>
    </row>
    <row r="5" spans="1:30" x14ac:dyDescent="0.35">
      <c r="A5" s="7" t="s">
        <v>8</v>
      </c>
      <c r="B5" s="7" t="s">
        <v>9</v>
      </c>
      <c r="C5" s="8">
        <v>150</v>
      </c>
      <c r="D5" s="9">
        <v>42</v>
      </c>
      <c r="E5" s="9">
        <v>42</v>
      </c>
      <c r="F5" s="9">
        <v>45</v>
      </c>
      <c r="G5" s="9">
        <v>43</v>
      </c>
      <c r="H5" s="9">
        <v>46</v>
      </c>
      <c r="I5" s="10">
        <f t="shared" ref="I5:J18" si="12">IF(D5&gt;40,D5-40,0)</f>
        <v>2</v>
      </c>
      <c r="J5" s="10">
        <f t="shared" si="12"/>
        <v>2</v>
      </c>
      <c r="K5" s="10">
        <f t="shared" ref="K5:M5" si="13">IF(F5&gt;40,F5-40,0)</f>
        <v>5</v>
      </c>
      <c r="L5" s="10">
        <f t="shared" si="13"/>
        <v>3</v>
      </c>
      <c r="M5" s="10">
        <f t="shared" si="13"/>
        <v>6</v>
      </c>
      <c r="N5" s="11">
        <f t="shared" ref="N5:N18" si="14">$C5*D5</f>
        <v>6300</v>
      </c>
      <c r="O5" s="11">
        <f t="shared" si="6"/>
        <v>6300</v>
      </c>
      <c r="P5" s="11">
        <f t="shared" si="6"/>
        <v>6750</v>
      </c>
      <c r="Q5" s="11">
        <f t="shared" si="6"/>
        <v>6450</v>
      </c>
      <c r="R5" s="11">
        <f t="shared" si="6"/>
        <v>6900</v>
      </c>
      <c r="S5" s="12">
        <f t="shared" ref="S5:S18" si="15">0.5*$C5*I5</f>
        <v>150</v>
      </c>
      <c r="T5" s="12">
        <f t="shared" si="7"/>
        <v>150</v>
      </c>
      <c r="U5" s="12">
        <f t="shared" si="8"/>
        <v>375</v>
      </c>
      <c r="V5" s="12">
        <f t="shared" si="9"/>
        <v>225</v>
      </c>
      <c r="W5" s="12">
        <f t="shared" si="10"/>
        <v>450</v>
      </c>
      <c r="X5" s="13">
        <f t="shared" ref="X5:X18" si="16">N5+S5</f>
        <v>6450</v>
      </c>
      <c r="Y5" s="13">
        <f t="shared" si="11"/>
        <v>6450</v>
      </c>
      <c r="Z5" s="13">
        <f t="shared" si="11"/>
        <v>7125</v>
      </c>
      <c r="AA5" s="13">
        <f t="shared" si="11"/>
        <v>6675</v>
      </c>
      <c r="AB5" s="13">
        <f t="shared" si="11"/>
        <v>7350</v>
      </c>
      <c r="AC5" s="1"/>
      <c r="AD5" s="27">
        <f t="shared" ref="AD5:AD18" si="17">SUM(X5:AB5)</f>
        <v>34050</v>
      </c>
    </row>
    <row r="6" spans="1:30" x14ac:dyDescent="0.35">
      <c r="A6" s="7" t="s">
        <v>10</v>
      </c>
      <c r="B6" s="7" t="s">
        <v>11</v>
      </c>
      <c r="C6" s="8">
        <v>180</v>
      </c>
      <c r="D6" s="9">
        <v>36</v>
      </c>
      <c r="E6" s="9">
        <v>39</v>
      </c>
      <c r="F6" s="9">
        <v>31</v>
      </c>
      <c r="G6" s="9">
        <v>38</v>
      </c>
      <c r="H6" s="9">
        <v>37</v>
      </c>
      <c r="I6" s="10">
        <f t="shared" si="12"/>
        <v>0</v>
      </c>
      <c r="J6" s="10">
        <f t="shared" si="12"/>
        <v>0</v>
      </c>
      <c r="K6" s="10">
        <f t="shared" ref="K6:M6" si="18">IF(F6&gt;40,F6-40,0)</f>
        <v>0</v>
      </c>
      <c r="L6" s="10">
        <f t="shared" si="18"/>
        <v>0</v>
      </c>
      <c r="M6" s="10">
        <f t="shared" si="18"/>
        <v>0</v>
      </c>
      <c r="N6" s="11">
        <f t="shared" si="14"/>
        <v>6480</v>
      </c>
      <c r="O6" s="11">
        <f t="shared" si="6"/>
        <v>7020</v>
      </c>
      <c r="P6" s="11">
        <f t="shared" si="6"/>
        <v>5580</v>
      </c>
      <c r="Q6" s="11">
        <f t="shared" si="6"/>
        <v>6840</v>
      </c>
      <c r="R6" s="11">
        <f t="shared" si="6"/>
        <v>6660</v>
      </c>
      <c r="S6" s="12">
        <f t="shared" si="15"/>
        <v>0</v>
      </c>
      <c r="T6" s="12">
        <f t="shared" si="7"/>
        <v>0</v>
      </c>
      <c r="U6" s="12">
        <f t="shared" si="8"/>
        <v>0</v>
      </c>
      <c r="V6" s="12">
        <f t="shared" si="9"/>
        <v>0</v>
      </c>
      <c r="W6" s="12">
        <f t="shared" si="10"/>
        <v>0</v>
      </c>
      <c r="X6" s="13">
        <f t="shared" si="16"/>
        <v>6480</v>
      </c>
      <c r="Y6" s="13">
        <f t="shared" si="11"/>
        <v>7020</v>
      </c>
      <c r="Z6" s="13">
        <f t="shared" si="11"/>
        <v>5580</v>
      </c>
      <c r="AA6" s="13">
        <f t="shared" si="11"/>
        <v>6840</v>
      </c>
      <c r="AB6" s="13">
        <f t="shared" si="11"/>
        <v>6660</v>
      </c>
      <c r="AC6" s="1"/>
      <c r="AD6" s="27">
        <f t="shared" si="17"/>
        <v>32580</v>
      </c>
    </row>
    <row r="7" spans="1:30" x14ac:dyDescent="0.35">
      <c r="A7" s="7" t="s">
        <v>12</v>
      </c>
      <c r="B7" s="7" t="s">
        <v>13</v>
      </c>
      <c r="C7" s="8">
        <v>200</v>
      </c>
      <c r="D7" s="9">
        <v>45</v>
      </c>
      <c r="E7" s="9">
        <v>47</v>
      </c>
      <c r="F7" s="9">
        <v>48</v>
      </c>
      <c r="G7" s="9">
        <v>45</v>
      </c>
      <c r="H7" s="9">
        <v>48</v>
      </c>
      <c r="I7" s="10">
        <f t="shared" si="12"/>
        <v>5</v>
      </c>
      <c r="J7" s="10">
        <f t="shared" si="12"/>
        <v>7</v>
      </c>
      <c r="K7" s="10">
        <f t="shared" ref="K7:M7" si="19">IF(F7&gt;40,F7-40,0)</f>
        <v>8</v>
      </c>
      <c r="L7" s="10">
        <f t="shared" si="19"/>
        <v>5</v>
      </c>
      <c r="M7" s="10">
        <f t="shared" si="19"/>
        <v>8</v>
      </c>
      <c r="N7" s="11">
        <f t="shared" si="14"/>
        <v>9000</v>
      </c>
      <c r="O7" s="11">
        <f t="shared" si="6"/>
        <v>9400</v>
      </c>
      <c r="P7" s="11">
        <f t="shared" si="6"/>
        <v>9600</v>
      </c>
      <c r="Q7" s="11">
        <f t="shared" si="6"/>
        <v>9000</v>
      </c>
      <c r="R7" s="11">
        <f t="shared" si="6"/>
        <v>9600</v>
      </c>
      <c r="S7" s="12">
        <f t="shared" si="15"/>
        <v>500</v>
      </c>
      <c r="T7" s="12">
        <f t="shared" si="7"/>
        <v>700</v>
      </c>
      <c r="U7" s="12">
        <f t="shared" si="8"/>
        <v>800</v>
      </c>
      <c r="V7" s="12">
        <f t="shared" si="9"/>
        <v>500</v>
      </c>
      <c r="W7" s="12">
        <f t="shared" si="10"/>
        <v>800</v>
      </c>
      <c r="X7" s="13">
        <f t="shared" si="16"/>
        <v>9500</v>
      </c>
      <c r="Y7" s="13">
        <f t="shared" si="11"/>
        <v>10100</v>
      </c>
      <c r="Z7" s="13">
        <f t="shared" si="11"/>
        <v>10400</v>
      </c>
      <c r="AA7" s="13">
        <f t="shared" si="11"/>
        <v>9500</v>
      </c>
      <c r="AB7" s="13">
        <f t="shared" si="11"/>
        <v>10400</v>
      </c>
      <c r="AC7" s="1"/>
      <c r="AD7" s="27">
        <f t="shared" si="17"/>
        <v>49900</v>
      </c>
    </row>
    <row r="8" spans="1:30" x14ac:dyDescent="0.35">
      <c r="A8" s="7" t="s">
        <v>14</v>
      </c>
      <c r="B8" s="7" t="s">
        <v>15</v>
      </c>
      <c r="C8" s="8">
        <v>175</v>
      </c>
      <c r="D8" s="9">
        <v>40</v>
      </c>
      <c r="E8" s="9">
        <v>33</v>
      </c>
      <c r="F8" s="9">
        <v>39</v>
      </c>
      <c r="G8" s="9">
        <v>36</v>
      </c>
      <c r="H8" s="9">
        <v>34</v>
      </c>
      <c r="I8" s="10">
        <f t="shared" si="12"/>
        <v>0</v>
      </c>
      <c r="J8" s="10">
        <f t="shared" si="12"/>
        <v>0</v>
      </c>
      <c r="K8" s="10">
        <f t="shared" ref="K8:M8" si="20">IF(F8&gt;40,F8-40,0)</f>
        <v>0</v>
      </c>
      <c r="L8" s="10">
        <f t="shared" si="20"/>
        <v>0</v>
      </c>
      <c r="M8" s="10">
        <f t="shared" si="20"/>
        <v>0</v>
      </c>
      <c r="N8" s="11">
        <f t="shared" si="14"/>
        <v>7000</v>
      </c>
      <c r="O8" s="11">
        <f t="shared" si="6"/>
        <v>5775</v>
      </c>
      <c r="P8" s="11">
        <f t="shared" si="6"/>
        <v>6825</v>
      </c>
      <c r="Q8" s="11">
        <f t="shared" si="6"/>
        <v>6300</v>
      </c>
      <c r="R8" s="11">
        <f t="shared" si="6"/>
        <v>5950</v>
      </c>
      <c r="S8" s="12">
        <f t="shared" si="15"/>
        <v>0</v>
      </c>
      <c r="T8" s="12">
        <f t="shared" si="7"/>
        <v>0</v>
      </c>
      <c r="U8" s="12">
        <f t="shared" si="8"/>
        <v>0</v>
      </c>
      <c r="V8" s="12">
        <f t="shared" si="9"/>
        <v>0</v>
      </c>
      <c r="W8" s="12">
        <f t="shared" si="10"/>
        <v>0</v>
      </c>
      <c r="X8" s="13">
        <f t="shared" si="16"/>
        <v>7000</v>
      </c>
      <c r="Y8" s="13">
        <f t="shared" si="11"/>
        <v>5775</v>
      </c>
      <c r="Z8" s="13">
        <f t="shared" si="11"/>
        <v>6825</v>
      </c>
      <c r="AA8" s="13">
        <f t="shared" si="11"/>
        <v>6300</v>
      </c>
      <c r="AB8" s="13">
        <f t="shared" si="11"/>
        <v>5950</v>
      </c>
      <c r="AC8" s="1"/>
      <c r="AD8" s="27">
        <f>SUM(X8:AB8)</f>
        <v>31850</v>
      </c>
    </row>
    <row r="9" spans="1:30" x14ac:dyDescent="0.35">
      <c r="A9" s="7" t="s">
        <v>16</v>
      </c>
      <c r="B9" s="7" t="s">
        <v>17</v>
      </c>
      <c r="C9" s="8">
        <v>160</v>
      </c>
      <c r="D9" s="9">
        <v>41</v>
      </c>
      <c r="E9" s="9">
        <v>44</v>
      </c>
      <c r="F9" s="9">
        <v>33</v>
      </c>
      <c r="G9" s="9">
        <v>49</v>
      </c>
      <c r="H9" s="9">
        <v>43</v>
      </c>
      <c r="I9" s="10">
        <f t="shared" si="12"/>
        <v>1</v>
      </c>
      <c r="J9" s="10">
        <f t="shared" si="12"/>
        <v>4</v>
      </c>
      <c r="K9" s="10">
        <f t="shared" ref="K9:M9" si="21">IF(F9&gt;40,F9-40,0)</f>
        <v>0</v>
      </c>
      <c r="L9" s="10">
        <f t="shared" si="21"/>
        <v>9</v>
      </c>
      <c r="M9" s="10">
        <f t="shared" si="21"/>
        <v>3</v>
      </c>
      <c r="N9" s="11">
        <f t="shared" si="14"/>
        <v>6560</v>
      </c>
      <c r="O9" s="11">
        <f t="shared" si="6"/>
        <v>7040</v>
      </c>
      <c r="P9" s="11">
        <f t="shared" si="6"/>
        <v>5280</v>
      </c>
      <c r="Q9" s="11">
        <f t="shared" si="6"/>
        <v>7840</v>
      </c>
      <c r="R9" s="11">
        <f t="shared" si="6"/>
        <v>6880</v>
      </c>
      <c r="S9" s="12">
        <f t="shared" si="15"/>
        <v>80</v>
      </c>
      <c r="T9" s="12">
        <f t="shared" si="7"/>
        <v>320</v>
      </c>
      <c r="U9" s="12">
        <f>0.5*$C9*K9</f>
        <v>0</v>
      </c>
      <c r="V9" s="12">
        <f>0.5*$C9*L9</f>
        <v>720</v>
      </c>
      <c r="W9" s="12">
        <f t="shared" si="10"/>
        <v>240</v>
      </c>
      <c r="X9" s="13">
        <f t="shared" si="16"/>
        <v>6640</v>
      </c>
      <c r="Y9" s="13">
        <f t="shared" si="11"/>
        <v>7360</v>
      </c>
      <c r="Z9" s="13">
        <f t="shared" si="11"/>
        <v>5280</v>
      </c>
      <c r="AA9" s="13">
        <f t="shared" si="11"/>
        <v>8560</v>
      </c>
      <c r="AB9" s="13">
        <f t="shared" si="11"/>
        <v>7120</v>
      </c>
      <c r="AC9" s="1"/>
      <c r="AD9" s="27">
        <f t="shared" si="17"/>
        <v>34960</v>
      </c>
    </row>
    <row r="10" spans="1:30" x14ac:dyDescent="0.35">
      <c r="A10" s="7" t="s">
        <v>18</v>
      </c>
      <c r="B10" s="7" t="s">
        <v>19</v>
      </c>
      <c r="C10" s="8">
        <v>220</v>
      </c>
      <c r="D10" s="9">
        <v>39</v>
      </c>
      <c r="E10" s="9">
        <v>40</v>
      </c>
      <c r="F10" s="9">
        <v>42</v>
      </c>
      <c r="G10" s="9">
        <v>39</v>
      </c>
      <c r="H10" s="9">
        <v>31</v>
      </c>
      <c r="I10" s="10">
        <f t="shared" si="12"/>
        <v>0</v>
      </c>
      <c r="J10" s="10">
        <f t="shared" si="12"/>
        <v>0</v>
      </c>
      <c r="K10" s="10">
        <f t="shared" ref="K10:M10" si="22">IF(F10&gt;40,F10-40,0)</f>
        <v>2</v>
      </c>
      <c r="L10" s="10">
        <f t="shared" si="22"/>
        <v>0</v>
      </c>
      <c r="M10" s="10">
        <f t="shared" si="22"/>
        <v>0</v>
      </c>
      <c r="N10" s="11">
        <f t="shared" si="14"/>
        <v>8580</v>
      </c>
      <c r="O10" s="11">
        <f t="shared" si="6"/>
        <v>8800</v>
      </c>
      <c r="P10" s="11">
        <f t="shared" si="6"/>
        <v>9240</v>
      </c>
      <c r="Q10" s="11">
        <f t="shared" si="6"/>
        <v>8580</v>
      </c>
      <c r="R10" s="11">
        <f t="shared" si="6"/>
        <v>6820</v>
      </c>
      <c r="S10" s="12">
        <f t="shared" si="15"/>
        <v>0</v>
      </c>
      <c r="T10" s="12">
        <f t="shared" si="7"/>
        <v>0</v>
      </c>
      <c r="U10" s="12">
        <f t="shared" si="8"/>
        <v>220</v>
      </c>
      <c r="V10" s="12">
        <f t="shared" si="9"/>
        <v>0</v>
      </c>
      <c r="W10" s="12">
        <f t="shared" si="10"/>
        <v>0</v>
      </c>
      <c r="X10" s="13">
        <f t="shared" si="16"/>
        <v>8580</v>
      </c>
      <c r="Y10" s="13">
        <f t="shared" si="11"/>
        <v>8800</v>
      </c>
      <c r="Z10" s="13">
        <f t="shared" si="11"/>
        <v>9460</v>
      </c>
      <c r="AA10" s="13">
        <f t="shared" si="11"/>
        <v>8580</v>
      </c>
      <c r="AB10" s="13">
        <f t="shared" si="11"/>
        <v>6820</v>
      </c>
      <c r="AC10" s="1"/>
      <c r="AD10" s="27">
        <f t="shared" si="17"/>
        <v>42240</v>
      </c>
    </row>
    <row r="11" spans="1:30" x14ac:dyDescent="0.35">
      <c r="A11" s="7" t="s">
        <v>20</v>
      </c>
      <c r="B11" s="7" t="s">
        <v>21</v>
      </c>
      <c r="C11" s="8">
        <v>140</v>
      </c>
      <c r="D11" s="9">
        <v>44</v>
      </c>
      <c r="E11" s="9">
        <v>36</v>
      </c>
      <c r="F11" s="9">
        <v>50</v>
      </c>
      <c r="G11" s="9">
        <v>32</v>
      </c>
      <c r="H11" s="9">
        <v>45</v>
      </c>
      <c r="I11" s="10">
        <f t="shared" si="12"/>
        <v>4</v>
      </c>
      <c r="J11" s="10">
        <f t="shared" si="12"/>
        <v>0</v>
      </c>
      <c r="K11" s="10">
        <f t="shared" ref="K11:M11" si="23">IF(F11&gt;40,F11-40,0)</f>
        <v>10</v>
      </c>
      <c r="L11" s="10">
        <f t="shared" si="23"/>
        <v>0</v>
      </c>
      <c r="M11" s="10">
        <f t="shared" si="23"/>
        <v>5</v>
      </c>
      <c r="N11" s="11">
        <f t="shared" si="14"/>
        <v>6160</v>
      </c>
      <c r="O11" s="11">
        <f t="shared" si="6"/>
        <v>5040</v>
      </c>
      <c r="P11" s="11">
        <f t="shared" si="6"/>
        <v>7000</v>
      </c>
      <c r="Q11" s="11">
        <f t="shared" si="6"/>
        <v>4480</v>
      </c>
      <c r="R11" s="11">
        <f t="shared" si="6"/>
        <v>6300</v>
      </c>
      <c r="S11" s="12">
        <f t="shared" si="15"/>
        <v>280</v>
      </c>
      <c r="T11" s="12">
        <f t="shared" si="7"/>
        <v>0</v>
      </c>
      <c r="U11" s="12">
        <f t="shared" si="8"/>
        <v>700</v>
      </c>
      <c r="V11" s="12">
        <f t="shared" si="9"/>
        <v>0</v>
      </c>
      <c r="W11" s="12">
        <f t="shared" si="10"/>
        <v>350</v>
      </c>
      <c r="X11" s="13">
        <f t="shared" si="16"/>
        <v>6440</v>
      </c>
      <c r="Y11" s="13">
        <f t="shared" si="11"/>
        <v>5040</v>
      </c>
      <c r="Z11" s="13">
        <f>P11+U11</f>
        <v>7700</v>
      </c>
      <c r="AA11" s="13">
        <f>Q11+V11</f>
        <v>4480</v>
      </c>
      <c r="AB11" s="13">
        <f>R11+W11</f>
        <v>6650</v>
      </c>
      <c r="AC11" s="1"/>
      <c r="AD11" s="27">
        <f t="shared" si="17"/>
        <v>30310</v>
      </c>
    </row>
    <row r="12" spans="1:30" x14ac:dyDescent="0.35">
      <c r="A12" s="7" t="s">
        <v>22</v>
      </c>
      <c r="B12" s="7" t="s">
        <v>23</v>
      </c>
      <c r="C12" s="8">
        <v>190</v>
      </c>
      <c r="D12" s="9">
        <v>33</v>
      </c>
      <c r="E12" s="9">
        <v>49</v>
      </c>
      <c r="F12" s="9">
        <v>36</v>
      </c>
      <c r="G12" s="9">
        <v>41</v>
      </c>
      <c r="H12" s="9">
        <v>40</v>
      </c>
      <c r="I12" s="10">
        <f t="shared" si="12"/>
        <v>0</v>
      </c>
      <c r="J12" s="10">
        <f t="shared" si="12"/>
        <v>9</v>
      </c>
      <c r="K12" s="10">
        <f t="shared" ref="K12:M12" si="24">IF(F12&gt;40,F12-40,0)</f>
        <v>0</v>
      </c>
      <c r="L12" s="10">
        <f t="shared" si="24"/>
        <v>1</v>
      </c>
      <c r="M12" s="10">
        <f t="shared" si="24"/>
        <v>0</v>
      </c>
      <c r="N12" s="11">
        <f t="shared" si="14"/>
        <v>6270</v>
      </c>
      <c r="O12" s="11">
        <f t="shared" si="6"/>
        <v>9310</v>
      </c>
      <c r="P12" s="11">
        <f t="shared" si="6"/>
        <v>6840</v>
      </c>
      <c r="Q12" s="11">
        <f t="shared" si="6"/>
        <v>7790</v>
      </c>
      <c r="R12" s="11">
        <f t="shared" si="6"/>
        <v>7600</v>
      </c>
      <c r="S12" s="12">
        <f t="shared" si="15"/>
        <v>0</v>
      </c>
      <c r="T12" s="12">
        <f t="shared" si="7"/>
        <v>855</v>
      </c>
      <c r="U12" s="12">
        <f t="shared" si="8"/>
        <v>0</v>
      </c>
      <c r="V12" s="12">
        <f t="shared" si="9"/>
        <v>95</v>
      </c>
      <c r="W12" s="12">
        <f t="shared" si="10"/>
        <v>0</v>
      </c>
      <c r="X12" s="13">
        <f t="shared" si="16"/>
        <v>6270</v>
      </c>
      <c r="Y12" s="13">
        <f t="shared" si="11"/>
        <v>10165</v>
      </c>
      <c r="Z12" s="13">
        <f t="shared" si="11"/>
        <v>6840</v>
      </c>
      <c r="AA12" s="13">
        <f t="shared" si="11"/>
        <v>7885</v>
      </c>
      <c r="AB12" s="13">
        <f t="shared" si="11"/>
        <v>7600</v>
      </c>
      <c r="AC12" s="1"/>
      <c r="AD12" s="27">
        <f t="shared" si="17"/>
        <v>38760</v>
      </c>
    </row>
    <row r="13" spans="1:30" x14ac:dyDescent="0.35">
      <c r="A13" s="7" t="s">
        <v>24</v>
      </c>
      <c r="B13" s="7" t="s">
        <v>25</v>
      </c>
      <c r="C13" s="8">
        <v>210</v>
      </c>
      <c r="D13" s="9">
        <v>48</v>
      </c>
      <c r="E13" s="9">
        <v>32</v>
      </c>
      <c r="F13" s="9">
        <v>41</v>
      </c>
      <c r="G13" s="9">
        <v>47</v>
      </c>
      <c r="H13" s="9">
        <v>38</v>
      </c>
      <c r="I13" s="10">
        <f t="shared" si="12"/>
        <v>8</v>
      </c>
      <c r="J13" s="10">
        <f t="shared" si="12"/>
        <v>0</v>
      </c>
      <c r="K13" s="10">
        <f t="shared" ref="K13:M13" si="25">IF(F13&gt;40,F13-40,0)</f>
        <v>1</v>
      </c>
      <c r="L13" s="10">
        <f t="shared" si="25"/>
        <v>7</v>
      </c>
      <c r="M13" s="10">
        <f t="shared" si="25"/>
        <v>0</v>
      </c>
      <c r="N13" s="11">
        <f t="shared" si="14"/>
        <v>10080</v>
      </c>
      <c r="O13" s="11">
        <f t="shared" si="6"/>
        <v>6720</v>
      </c>
      <c r="P13" s="11">
        <f t="shared" si="6"/>
        <v>8610</v>
      </c>
      <c r="Q13" s="11">
        <f t="shared" si="6"/>
        <v>9870</v>
      </c>
      <c r="R13" s="11">
        <f t="shared" si="6"/>
        <v>7980</v>
      </c>
      <c r="S13" s="12">
        <f t="shared" si="15"/>
        <v>840</v>
      </c>
      <c r="T13" s="12">
        <f t="shared" si="7"/>
        <v>0</v>
      </c>
      <c r="U13" s="12">
        <f t="shared" si="8"/>
        <v>105</v>
      </c>
      <c r="V13" s="12">
        <f t="shared" si="9"/>
        <v>735</v>
      </c>
      <c r="W13" s="12">
        <f t="shared" si="10"/>
        <v>0</v>
      </c>
      <c r="X13" s="13">
        <f t="shared" si="16"/>
        <v>10920</v>
      </c>
      <c r="Y13" s="13">
        <f t="shared" si="11"/>
        <v>6720</v>
      </c>
      <c r="Z13" s="13">
        <f t="shared" si="11"/>
        <v>8715</v>
      </c>
      <c r="AA13" s="13">
        <f t="shared" si="11"/>
        <v>10605</v>
      </c>
      <c r="AB13" s="13">
        <f t="shared" si="11"/>
        <v>7980</v>
      </c>
      <c r="AC13" s="1"/>
      <c r="AD13" s="27">
        <f t="shared" si="17"/>
        <v>44940</v>
      </c>
    </row>
    <row r="14" spans="1:30" x14ac:dyDescent="0.35">
      <c r="A14" s="7" t="s">
        <v>26</v>
      </c>
      <c r="B14" s="7" t="s">
        <v>27</v>
      </c>
      <c r="C14" s="8">
        <v>165</v>
      </c>
      <c r="D14" s="9">
        <v>37</v>
      </c>
      <c r="E14" s="9">
        <v>41</v>
      </c>
      <c r="F14" s="9">
        <v>40</v>
      </c>
      <c r="G14" s="9">
        <v>33</v>
      </c>
      <c r="H14" s="9">
        <v>33</v>
      </c>
      <c r="I14" s="10">
        <f t="shared" si="12"/>
        <v>0</v>
      </c>
      <c r="J14" s="10">
        <f t="shared" si="12"/>
        <v>1</v>
      </c>
      <c r="K14" s="10">
        <f t="shared" ref="K14:M14" si="26">IF(F14&gt;40,F14-40,0)</f>
        <v>0</v>
      </c>
      <c r="L14" s="10">
        <f t="shared" si="26"/>
        <v>0</v>
      </c>
      <c r="M14" s="10">
        <f t="shared" si="26"/>
        <v>0</v>
      </c>
      <c r="N14" s="11">
        <f t="shared" si="14"/>
        <v>6105</v>
      </c>
      <c r="O14" s="11">
        <f t="shared" si="6"/>
        <v>6765</v>
      </c>
      <c r="P14" s="11">
        <f t="shared" si="6"/>
        <v>6600</v>
      </c>
      <c r="Q14" s="11">
        <f t="shared" si="6"/>
        <v>5445</v>
      </c>
      <c r="R14" s="11">
        <f t="shared" si="6"/>
        <v>5445</v>
      </c>
      <c r="S14" s="12">
        <f t="shared" si="15"/>
        <v>0</v>
      </c>
      <c r="T14" s="12">
        <f t="shared" si="7"/>
        <v>82.5</v>
      </c>
      <c r="U14" s="12">
        <f t="shared" si="8"/>
        <v>0</v>
      </c>
      <c r="V14" s="12">
        <f t="shared" si="9"/>
        <v>0</v>
      </c>
      <c r="W14" s="12">
        <f t="shared" si="10"/>
        <v>0</v>
      </c>
      <c r="X14" s="13">
        <f t="shared" si="16"/>
        <v>6105</v>
      </c>
      <c r="Y14" s="13">
        <f t="shared" si="11"/>
        <v>6847.5</v>
      </c>
      <c r="Z14" s="13">
        <f t="shared" si="11"/>
        <v>6600</v>
      </c>
      <c r="AA14" s="13">
        <f t="shared" si="11"/>
        <v>5445</v>
      </c>
      <c r="AB14" s="13">
        <f t="shared" si="11"/>
        <v>5445</v>
      </c>
      <c r="AC14" s="1"/>
      <c r="AD14" s="27">
        <f t="shared" si="17"/>
        <v>30442.5</v>
      </c>
    </row>
    <row r="15" spans="1:30" x14ac:dyDescent="0.35">
      <c r="A15" s="7" t="s">
        <v>28</v>
      </c>
      <c r="B15" s="7" t="s">
        <v>29</v>
      </c>
      <c r="C15" s="8">
        <v>230</v>
      </c>
      <c r="D15" s="9">
        <v>46</v>
      </c>
      <c r="E15" s="9">
        <v>46</v>
      </c>
      <c r="F15" s="9">
        <v>44</v>
      </c>
      <c r="G15" s="9">
        <v>44</v>
      </c>
      <c r="H15" s="9">
        <v>44</v>
      </c>
      <c r="I15" s="10">
        <f t="shared" si="12"/>
        <v>6</v>
      </c>
      <c r="J15" s="10">
        <f t="shared" si="12"/>
        <v>6</v>
      </c>
      <c r="K15" s="10">
        <f t="shared" ref="K15:M15" si="27">IF(F15&gt;40,F15-40,0)</f>
        <v>4</v>
      </c>
      <c r="L15" s="10">
        <f t="shared" si="27"/>
        <v>4</v>
      </c>
      <c r="M15" s="10">
        <f t="shared" si="27"/>
        <v>4</v>
      </c>
      <c r="N15" s="11">
        <f t="shared" si="14"/>
        <v>10580</v>
      </c>
      <c r="O15" s="11">
        <f t="shared" si="6"/>
        <v>10580</v>
      </c>
      <c r="P15" s="11">
        <f t="shared" si="6"/>
        <v>10120</v>
      </c>
      <c r="Q15" s="11">
        <f t="shared" si="6"/>
        <v>10120</v>
      </c>
      <c r="R15" s="11">
        <f t="shared" si="6"/>
        <v>10120</v>
      </c>
      <c r="S15" s="12">
        <f t="shared" si="15"/>
        <v>690</v>
      </c>
      <c r="T15" s="12">
        <f t="shared" si="7"/>
        <v>690</v>
      </c>
      <c r="U15" s="12">
        <f t="shared" si="8"/>
        <v>460</v>
      </c>
      <c r="V15" s="12">
        <f t="shared" si="9"/>
        <v>460</v>
      </c>
      <c r="W15" s="12">
        <f t="shared" si="10"/>
        <v>460</v>
      </c>
      <c r="X15" s="13">
        <f t="shared" si="16"/>
        <v>11270</v>
      </c>
      <c r="Y15" s="13">
        <f t="shared" si="11"/>
        <v>11270</v>
      </c>
      <c r="Z15" s="13">
        <f t="shared" si="11"/>
        <v>10580</v>
      </c>
      <c r="AA15" s="13">
        <f t="shared" si="11"/>
        <v>10580</v>
      </c>
      <c r="AB15" s="13">
        <f t="shared" si="11"/>
        <v>10580</v>
      </c>
      <c r="AC15" s="1"/>
      <c r="AD15" s="27">
        <f t="shared" si="17"/>
        <v>54280</v>
      </c>
    </row>
    <row r="16" spans="1:30" x14ac:dyDescent="0.35">
      <c r="A16" s="7" t="s">
        <v>30</v>
      </c>
      <c r="B16" s="7" t="s">
        <v>31</v>
      </c>
      <c r="C16" s="8">
        <v>250</v>
      </c>
      <c r="D16" s="9">
        <v>34</v>
      </c>
      <c r="E16" s="9">
        <v>38</v>
      </c>
      <c r="F16" s="9">
        <v>35</v>
      </c>
      <c r="G16" s="9">
        <v>40</v>
      </c>
      <c r="H16" s="9">
        <v>36</v>
      </c>
      <c r="I16" s="10">
        <f t="shared" si="12"/>
        <v>0</v>
      </c>
      <c r="J16" s="10">
        <f t="shared" si="12"/>
        <v>0</v>
      </c>
      <c r="K16" s="10">
        <f t="shared" ref="K16:M16" si="28">IF(F16&gt;40,F16-40,0)</f>
        <v>0</v>
      </c>
      <c r="L16" s="10">
        <f t="shared" si="28"/>
        <v>0</v>
      </c>
      <c r="M16" s="10">
        <f t="shared" si="28"/>
        <v>0</v>
      </c>
      <c r="N16" s="11">
        <f t="shared" si="14"/>
        <v>8500</v>
      </c>
      <c r="O16" s="11">
        <f t="shared" si="6"/>
        <v>9500</v>
      </c>
      <c r="P16" s="11">
        <f t="shared" si="6"/>
        <v>8750</v>
      </c>
      <c r="Q16" s="11">
        <f t="shared" si="6"/>
        <v>10000</v>
      </c>
      <c r="R16" s="11">
        <f t="shared" si="6"/>
        <v>9000</v>
      </c>
      <c r="S16" s="12">
        <f t="shared" si="15"/>
        <v>0</v>
      </c>
      <c r="T16" s="12">
        <f t="shared" si="7"/>
        <v>0</v>
      </c>
      <c r="U16" s="12">
        <f t="shared" si="8"/>
        <v>0</v>
      </c>
      <c r="V16" s="12">
        <f t="shared" si="9"/>
        <v>0</v>
      </c>
      <c r="W16" s="12">
        <f t="shared" si="10"/>
        <v>0</v>
      </c>
      <c r="X16" s="13">
        <f t="shared" si="16"/>
        <v>8500</v>
      </c>
      <c r="Y16" s="13">
        <f t="shared" si="11"/>
        <v>9500</v>
      </c>
      <c r="Z16" s="13">
        <f t="shared" si="11"/>
        <v>8750</v>
      </c>
      <c r="AA16" s="13">
        <f t="shared" si="11"/>
        <v>10000</v>
      </c>
      <c r="AB16" s="13">
        <f t="shared" si="11"/>
        <v>9000</v>
      </c>
      <c r="AC16" s="1"/>
      <c r="AD16" s="27">
        <f t="shared" si="17"/>
        <v>45750</v>
      </c>
    </row>
    <row r="17" spans="1:30" x14ac:dyDescent="0.35">
      <c r="A17" s="7" t="s">
        <v>32</v>
      </c>
      <c r="B17" s="7" t="s">
        <v>33</v>
      </c>
      <c r="C17" s="8">
        <v>135</v>
      </c>
      <c r="D17" s="9">
        <v>43</v>
      </c>
      <c r="E17" s="9">
        <v>43</v>
      </c>
      <c r="F17" s="9">
        <v>46</v>
      </c>
      <c r="G17" s="9">
        <v>35</v>
      </c>
      <c r="H17" s="9">
        <v>47</v>
      </c>
      <c r="I17" s="10">
        <f t="shared" si="12"/>
        <v>3</v>
      </c>
      <c r="J17" s="10">
        <f t="shared" si="12"/>
        <v>3</v>
      </c>
      <c r="K17" s="10">
        <f t="shared" ref="K17:M17" si="29">IF(F17&gt;40,F17-40,0)</f>
        <v>6</v>
      </c>
      <c r="L17" s="10">
        <f t="shared" si="29"/>
        <v>0</v>
      </c>
      <c r="M17" s="10">
        <f t="shared" si="29"/>
        <v>7</v>
      </c>
      <c r="N17" s="11">
        <f t="shared" si="14"/>
        <v>5805</v>
      </c>
      <c r="O17" s="11">
        <f t="shared" si="6"/>
        <v>5805</v>
      </c>
      <c r="P17" s="11">
        <f t="shared" si="6"/>
        <v>6210</v>
      </c>
      <c r="Q17" s="11">
        <f t="shared" si="6"/>
        <v>4725</v>
      </c>
      <c r="R17" s="11">
        <f t="shared" si="6"/>
        <v>6345</v>
      </c>
      <c r="S17" s="12">
        <f t="shared" si="15"/>
        <v>202.5</v>
      </c>
      <c r="T17" s="12">
        <f t="shared" si="7"/>
        <v>202.5</v>
      </c>
      <c r="U17" s="12">
        <f t="shared" si="8"/>
        <v>405</v>
      </c>
      <c r="V17" s="12">
        <f t="shared" si="9"/>
        <v>0</v>
      </c>
      <c r="W17" s="12">
        <f t="shared" si="10"/>
        <v>472.5</v>
      </c>
      <c r="X17" s="13">
        <f t="shared" si="16"/>
        <v>6007.5</v>
      </c>
      <c r="Y17" s="13">
        <f t="shared" si="11"/>
        <v>6007.5</v>
      </c>
      <c r="Z17" s="13">
        <f t="shared" si="11"/>
        <v>6615</v>
      </c>
      <c r="AA17" s="13">
        <f t="shared" si="11"/>
        <v>4725</v>
      </c>
      <c r="AB17" s="13">
        <f t="shared" si="11"/>
        <v>6817.5</v>
      </c>
      <c r="AC17" s="1"/>
      <c r="AD17" s="27">
        <f t="shared" si="17"/>
        <v>30172.5</v>
      </c>
    </row>
    <row r="18" spans="1:30" x14ac:dyDescent="0.35">
      <c r="A18" s="7" t="s">
        <v>34</v>
      </c>
      <c r="B18" s="7" t="s">
        <v>35</v>
      </c>
      <c r="C18" s="8">
        <v>170</v>
      </c>
      <c r="D18" s="9">
        <v>32</v>
      </c>
      <c r="E18" s="9">
        <v>34</v>
      </c>
      <c r="F18" s="9">
        <v>32</v>
      </c>
      <c r="G18" s="9">
        <v>50</v>
      </c>
      <c r="H18" s="9">
        <v>35</v>
      </c>
      <c r="I18" s="10">
        <f t="shared" si="12"/>
        <v>0</v>
      </c>
      <c r="J18" s="10">
        <f t="shared" si="12"/>
        <v>0</v>
      </c>
      <c r="K18" s="10">
        <f t="shared" ref="K18:M18" si="30">IF(F18&gt;40,F18-40,0)</f>
        <v>0</v>
      </c>
      <c r="L18" s="10">
        <f t="shared" si="30"/>
        <v>10</v>
      </c>
      <c r="M18" s="10">
        <f t="shared" si="30"/>
        <v>0</v>
      </c>
      <c r="N18" s="11">
        <f t="shared" si="14"/>
        <v>5440</v>
      </c>
      <c r="O18" s="11">
        <f t="shared" si="6"/>
        <v>5780</v>
      </c>
      <c r="P18" s="11">
        <f t="shared" si="6"/>
        <v>5440</v>
      </c>
      <c r="Q18" s="11">
        <f t="shared" si="6"/>
        <v>8500</v>
      </c>
      <c r="R18" s="11">
        <f>$C18*H18</f>
        <v>5950</v>
      </c>
      <c r="S18" s="12">
        <f t="shared" si="15"/>
        <v>0</v>
      </c>
      <c r="T18" s="12">
        <f t="shared" si="7"/>
        <v>0</v>
      </c>
      <c r="U18" s="12">
        <f t="shared" si="8"/>
        <v>0</v>
      </c>
      <c r="V18" s="12">
        <f t="shared" si="9"/>
        <v>850</v>
      </c>
      <c r="W18" s="12">
        <f t="shared" si="10"/>
        <v>0</v>
      </c>
      <c r="X18" s="13">
        <f t="shared" si="16"/>
        <v>5440</v>
      </c>
      <c r="Y18" s="13">
        <f t="shared" si="11"/>
        <v>5780</v>
      </c>
      <c r="Z18" s="13">
        <f t="shared" si="11"/>
        <v>5440</v>
      </c>
      <c r="AA18" s="13">
        <f t="shared" si="11"/>
        <v>9350</v>
      </c>
      <c r="AB18" s="13">
        <f t="shared" si="11"/>
        <v>5950</v>
      </c>
      <c r="AC18" s="1"/>
      <c r="AD18" s="27">
        <f t="shared" si="17"/>
        <v>31960</v>
      </c>
    </row>
    <row r="19" spans="1:3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5">
      <c r="A20" s="7" t="s">
        <v>36</v>
      </c>
      <c r="B20" s="1"/>
      <c r="C20" s="14">
        <f>MAX(C4:C18)</f>
        <v>250</v>
      </c>
      <c r="D20" s="25">
        <f t="shared" ref="D20:N20" si="31">MAX(D4:D18)</f>
        <v>48</v>
      </c>
      <c r="E20" s="25">
        <f t="shared" ref="E20:H20" si="32">MAX(E4:E18)</f>
        <v>49</v>
      </c>
      <c r="F20" s="25">
        <f t="shared" si="32"/>
        <v>50</v>
      </c>
      <c r="G20" s="25">
        <f t="shared" si="32"/>
        <v>50</v>
      </c>
      <c r="H20" s="25">
        <f t="shared" si="32"/>
        <v>48</v>
      </c>
      <c r="I20" s="15"/>
      <c r="J20" s="15"/>
      <c r="K20" s="15"/>
      <c r="L20" s="15"/>
      <c r="M20" s="15"/>
      <c r="N20" s="24">
        <f t="shared" si="31"/>
        <v>10580</v>
      </c>
      <c r="O20" s="24">
        <f t="shared" ref="O20:AA20" si="33">MAX(O4:O18)</f>
        <v>10580</v>
      </c>
      <c r="P20" s="24">
        <f t="shared" si="33"/>
        <v>10120</v>
      </c>
      <c r="Q20" s="24">
        <f t="shared" si="33"/>
        <v>10120</v>
      </c>
      <c r="R20" s="24">
        <f t="shared" si="33"/>
        <v>10120</v>
      </c>
      <c r="S20" s="23">
        <f t="shared" si="33"/>
        <v>840</v>
      </c>
      <c r="T20" s="23">
        <f t="shared" si="33"/>
        <v>855</v>
      </c>
      <c r="U20" s="23">
        <f t="shared" si="33"/>
        <v>800</v>
      </c>
      <c r="V20" s="23">
        <f t="shared" si="33"/>
        <v>850</v>
      </c>
      <c r="W20" s="23">
        <f t="shared" si="33"/>
        <v>800</v>
      </c>
      <c r="X20" s="13">
        <f t="shared" si="33"/>
        <v>11270</v>
      </c>
      <c r="Y20" s="13">
        <f t="shared" si="33"/>
        <v>11270</v>
      </c>
      <c r="Z20" s="13">
        <f t="shared" si="33"/>
        <v>10580</v>
      </c>
      <c r="AA20" s="13">
        <f t="shared" si="33"/>
        <v>10605</v>
      </c>
      <c r="AB20" s="13">
        <f>MAX(AB4:AB18)</f>
        <v>10580</v>
      </c>
      <c r="AC20" s="1"/>
      <c r="AD20" s="27">
        <f>MAX(AD4:AD18)</f>
        <v>54280</v>
      </c>
    </row>
    <row r="21" spans="1:30" x14ac:dyDescent="0.35">
      <c r="A21" s="7" t="s">
        <v>37</v>
      </c>
      <c r="B21" s="1"/>
      <c r="C21" s="14">
        <f>MIN(C4:C18)</f>
        <v>120</v>
      </c>
      <c r="D21" s="25">
        <f t="shared" ref="D21:N21" si="34">MIN(D4:D18)</f>
        <v>32</v>
      </c>
      <c r="E21" s="25">
        <f t="shared" ref="E21:H21" si="35">MIN(E4:E18)</f>
        <v>32</v>
      </c>
      <c r="F21" s="25">
        <f t="shared" si="35"/>
        <v>31</v>
      </c>
      <c r="G21" s="25">
        <f t="shared" si="35"/>
        <v>32</v>
      </c>
      <c r="H21" s="25">
        <f t="shared" si="35"/>
        <v>31</v>
      </c>
      <c r="I21" s="15"/>
      <c r="J21" s="15"/>
      <c r="K21" s="15"/>
      <c r="L21" s="15"/>
      <c r="M21" s="15"/>
      <c r="N21" s="24">
        <f t="shared" si="34"/>
        <v>4560</v>
      </c>
      <c r="O21" s="24">
        <f t="shared" ref="O21:AB21" si="36">MIN(O4:O18)</f>
        <v>4200</v>
      </c>
      <c r="P21" s="24">
        <f t="shared" si="36"/>
        <v>4440</v>
      </c>
      <c r="Q21" s="24">
        <f t="shared" si="36"/>
        <v>4080</v>
      </c>
      <c r="R21" s="24">
        <f t="shared" si="36"/>
        <v>4680</v>
      </c>
      <c r="S21" s="23">
        <f t="shared" si="36"/>
        <v>0</v>
      </c>
      <c r="T21" s="23">
        <f t="shared" si="36"/>
        <v>0</v>
      </c>
      <c r="U21" s="23">
        <f t="shared" si="36"/>
        <v>0</v>
      </c>
      <c r="V21" s="23">
        <f t="shared" si="36"/>
        <v>0</v>
      </c>
      <c r="W21" s="23">
        <f t="shared" si="36"/>
        <v>0</v>
      </c>
      <c r="X21" s="13">
        <f t="shared" si="36"/>
        <v>4560</v>
      </c>
      <c r="Y21" s="13">
        <f t="shared" si="36"/>
        <v>4200</v>
      </c>
      <c r="Z21" s="13">
        <f t="shared" si="36"/>
        <v>4440</v>
      </c>
      <c r="AA21" s="13">
        <f t="shared" si="36"/>
        <v>4080</v>
      </c>
      <c r="AB21" s="13">
        <f t="shared" si="36"/>
        <v>4680</v>
      </c>
      <c r="AC21" s="1"/>
      <c r="AD21" s="27">
        <f t="shared" ref="AD21" si="37">MIN(AD4:AD18)</f>
        <v>21960</v>
      </c>
    </row>
    <row r="22" spans="1:30" x14ac:dyDescent="0.35">
      <c r="A22" s="7" t="s">
        <v>38</v>
      </c>
      <c r="B22" s="1"/>
      <c r="C22" s="14">
        <f>AVERAGE(C4:C18)</f>
        <v>179.66666666666666</v>
      </c>
      <c r="D22" s="26">
        <f t="shared" ref="D22:N22" si="38">AVERAGE(D4:D18)</f>
        <v>39.866666666666667</v>
      </c>
      <c r="E22" s="26">
        <f t="shared" ref="E22:H22" si="39">AVERAGE(E4:E18)</f>
        <v>39.93333333333333</v>
      </c>
      <c r="F22" s="26">
        <f t="shared" si="39"/>
        <v>39.93333333333333</v>
      </c>
      <c r="G22" s="26">
        <f t="shared" si="39"/>
        <v>40.4</v>
      </c>
      <c r="H22" s="26">
        <f t="shared" si="39"/>
        <v>39.733333333333334</v>
      </c>
      <c r="I22" s="15"/>
      <c r="J22" s="15"/>
      <c r="K22" s="15"/>
      <c r="L22" s="15"/>
      <c r="M22" s="15"/>
      <c r="N22" s="24">
        <f t="shared" si="38"/>
        <v>7161.333333333333</v>
      </c>
      <c r="O22" s="24">
        <f t="shared" ref="O22:AB22" si="40">AVERAGE(O4:O18)</f>
        <v>7202.333333333333</v>
      </c>
      <c r="P22" s="24">
        <f t="shared" si="40"/>
        <v>7152.333333333333</v>
      </c>
      <c r="Q22" s="24">
        <f t="shared" si="40"/>
        <v>7334.666666666667</v>
      </c>
      <c r="R22" s="24">
        <f t="shared" si="40"/>
        <v>7082</v>
      </c>
      <c r="S22" s="23">
        <f t="shared" si="40"/>
        <v>182.83333333333334</v>
      </c>
      <c r="T22" s="23">
        <f t="shared" si="40"/>
        <v>200</v>
      </c>
      <c r="U22" s="23">
        <f t="shared" si="40"/>
        <v>204.33333333333334</v>
      </c>
      <c r="V22" s="23">
        <f t="shared" si="40"/>
        <v>239</v>
      </c>
      <c r="W22" s="23">
        <f t="shared" si="40"/>
        <v>184.83333333333334</v>
      </c>
      <c r="X22" s="13">
        <f t="shared" si="40"/>
        <v>7344.166666666667</v>
      </c>
      <c r="Y22" s="13">
        <f t="shared" si="40"/>
        <v>7402.333333333333</v>
      </c>
      <c r="Z22" s="13">
        <f t="shared" si="40"/>
        <v>7356.666666666667</v>
      </c>
      <c r="AA22" s="13">
        <f t="shared" si="40"/>
        <v>7573.666666666667</v>
      </c>
      <c r="AB22" s="13">
        <f t="shared" si="40"/>
        <v>7266.833333333333</v>
      </c>
      <c r="AC22" s="1"/>
      <c r="AD22" s="27">
        <f t="shared" ref="AD22" si="41">AVERAGE(AD4:AD18)</f>
        <v>36943.666666666664</v>
      </c>
    </row>
    <row r="23" spans="1:30" x14ac:dyDescent="0.35">
      <c r="A23" s="7" t="s">
        <v>39</v>
      </c>
      <c r="B23" s="1"/>
      <c r="C23" s="1"/>
      <c r="D23" s="9">
        <f>SUM(D4:D18)</f>
        <v>598</v>
      </c>
      <c r="E23" s="9">
        <f t="shared" ref="E23:H23" si="42">SUM(E4:E18)</f>
        <v>599</v>
      </c>
      <c r="F23" s="9">
        <f t="shared" si="42"/>
        <v>599</v>
      </c>
      <c r="G23" s="9">
        <f t="shared" si="42"/>
        <v>606</v>
      </c>
      <c r="H23" s="9">
        <f t="shared" si="42"/>
        <v>596</v>
      </c>
      <c r="I23" s="1"/>
      <c r="J23" s="1"/>
      <c r="K23" s="1"/>
      <c r="L23" s="1"/>
      <c r="M23" s="1"/>
      <c r="N23" s="24">
        <f>SUM(N4:N18)</f>
        <v>107420</v>
      </c>
      <c r="O23" s="24">
        <f t="shared" ref="O23:AB23" si="43">SUM(O4:O18)</f>
        <v>108035</v>
      </c>
      <c r="P23" s="24">
        <f t="shared" si="43"/>
        <v>107285</v>
      </c>
      <c r="Q23" s="24">
        <f t="shared" si="43"/>
        <v>110020</v>
      </c>
      <c r="R23" s="24">
        <f t="shared" si="43"/>
        <v>106230</v>
      </c>
      <c r="S23" s="23">
        <f t="shared" si="43"/>
        <v>2742.5</v>
      </c>
      <c r="T23" s="23">
        <f t="shared" si="43"/>
        <v>3000</v>
      </c>
      <c r="U23" s="23">
        <f t="shared" si="43"/>
        <v>3065</v>
      </c>
      <c r="V23" s="23">
        <f t="shared" si="43"/>
        <v>3585</v>
      </c>
      <c r="W23" s="23">
        <f t="shared" si="43"/>
        <v>2772.5</v>
      </c>
      <c r="X23" s="13">
        <f t="shared" si="43"/>
        <v>110162.5</v>
      </c>
      <c r="Y23" s="13">
        <f t="shared" si="43"/>
        <v>111035</v>
      </c>
      <c r="Z23" s="13">
        <f t="shared" si="43"/>
        <v>110350</v>
      </c>
      <c r="AA23" s="13">
        <f t="shared" si="43"/>
        <v>113605</v>
      </c>
      <c r="AB23" s="13">
        <f t="shared" si="43"/>
        <v>109002.5</v>
      </c>
      <c r="AC23" s="1"/>
      <c r="AD23" s="27">
        <f t="shared" ref="AD23" si="44">SUM(AD4:AD18)</f>
        <v>554155</v>
      </c>
    </row>
  </sheetData>
  <mergeCells count="6">
    <mergeCell ref="A1:AD1"/>
    <mergeCell ref="X2:AB2"/>
    <mergeCell ref="S2:W2"/>
    <mergeCell ref="N2:R2"/>
    <mergeCell ref="I2:M2"/>
    <mergeCell ref="D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Akram</dc:creator>
  <cp:lastModifiedBy>Waseem Akram</cp:lastModifiedBy>
  <dcterms:created xsi:type="dcterms:W3CDTF">2025-11-15T08:54:56Z</dcterms:created>
  <dcterms:modified xsi:type="dcterms:W3CDTF">2025-11-15T12:34:02Z</dcterms:modified>
</cp:coreProperties>
</file>